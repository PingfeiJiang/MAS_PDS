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p_jiang_exeter_ac_uk/Documents/RESEARCH/PAPERS/2026/LLM generative design loop/"/>
    </mc:Choice>
  </mc:AlternateContent>
  <xr:revisionPtr revIDLastSave="1" documentId="11_F25DC773A252ABDACC1048FA119C5A325BDE58EE" xr6:coauthVersionLast="47" xr6:coauthVersionMax="47" xr10:uidLastSave="{EFFD45D7-763E-466D-AC4B-672022090B78}"/>
  <bookViews>
    <workbookView xWindow="-105" yWindow="0" windowWidth="1947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1" l="1"/>
  <c r="R20" i="1"/>
  <c r="Q20" i="1"/>
  <c r="S19" i="1"/>
  <c r="R19" i="1"/>
  <c r="Q19" i="1"/>
  <c r="S18" i="1"/>
  <c r="R18" i="1"/>
  <c r="Q18" i="1"/>
  <c r="T17" i="1"/>
  <c r="T16" i="1"/>
  <c r="T15" i="1"/>
  <c r="T14" i="1"/>
  <c r="T13" i="1"/>
  <c r="T12" i="1"/>
  <c r="T11" i="1"/>
  <c r="T10" i="1"/>
  <c r="T9" i="1"/>
  <c r="T8" i="1"/>
  <c r="T7" i="1"/>
  <c r="T18" i="1" s="1"/>
</calcChain>
</file>

<file path=xl/sharedStrings.xml><?xml version="1.0" encoding="utf-8"?>
<sst xmlns="http://schemas.openxmlformats.org/spreadsheetml/2006/main" count="195" uniqueCount="34">
  <si>
    <t>Vacuum Cleaner</t>
  </si>
  <si>
    <t>File</t>
  </si>
  <si>
    <t>Word Count</t>
  </si>
  <si>
    <t>Matls</t>
  </si>
  <si>
    <t>Mfg</t>
  </si>
  <si>
    <t>Perf</t>
  </si>
  <si>
    <t>Nums</t>
  </si>
  <si>
    <t>Structure (S)</t>
  </si>
  <si>
    <t>Behavior (B)</t>
  </si>
  <si>
    <t>ARI</t>
  </si>
  <si>
    <t>Density</t>
  </si>
  <si>
    <t>ZeroShot_PDS.csv</t>
  </si>
  <si>
    <t>PDS_2.csv</t>
  </si>
  <si>
    <t>PDS_3.csv</t>
  </si>
  <si>
    <t>MAS_Iteration_1_Output.csv</t>
  </si>
  <si>
    <t>Product Domain</t>
  </si>
  <si>
    <t>Baseline</t>
  </si>
  <si>
    <t>Control</t>
  </si>
  <si>
    <t>Experimental</t>
  </si>
  <si>
    <t>Improvement</t>
  </si>
  <si>
    <t>MAS_Iteration_2_Output.csv</t>
  </si>
  <si>
    <t>Electric Kettle</t>
  </si>
  <si>
    <t>Cordless Drill</t>
  </si>
  <si>
    <t>Coffee Machine</t>
  </si>
  <si>
    <t>Hair Dryer</t>
  </si>
  <si>
    <t>Portable Blender</t>
  </si>
  <si>
    <t>Bladeless Fan</t>
  </si>
  <si>
    <t>Electric Toothbrush</t>
  </si>
  <si>
    <t>Electric Wheelchair</t>
  </si>
  <si>
    <t>Folding Bike</t>
  </si>
  <si>
    <t>Lawn Mower</t>
  </si>
  <si>
    <t>Mean</t>
  </si>
  <si>
    <t>SD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</si>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</sst>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ptos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9" fontId="4" fillId="0" borderId="3" xfId="0" applyNumberFormat="1" applyFont="1" applyBorder="1" applyAlignment="1">
      <alignment horizontal="center" vertical="center" wrapText="1"/>
    </xf>
    <xf numFmtId="9" fontId="4" fillId="0" borderId="3" xfId="1" applyFont="1" applyBorder="1" applyAlignment="1">
      <alignment horizontal="center" vertical="center" wrapText="1"/>
    </xf>
    <xf numFmtId="9" fontId="4" fillId="0" borderId="3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9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tabSelected="1" workbookViewId="0">
      <selection activeCell="M13" sqref="M13"/>
    </sheetView>
  </sheetViews>
  <sheetFormatPr defaultRowHeight="15" x14ac:dyDescent="0.25"/>
  <cols>
    <col min="1" max="1" width="24.85546875" bestFit="1" customWidth="1"/>
    <col min="8" max="8" width="11.85546875" bestFit="1" customWidth="1"/>
    <col min="16" max="16" width="19.140625" customWidth="1"/>
    <col min="17" max="17" width="15.5703125" customWidth="1"/>
    <col min="18" max="18" width="13.42578125" customWidth="1"/>
    <col min="19" max="19" width="17.7109375" customWidth="1"/>
    <col min="20" max="20" width="18.5703125" customWidth="1"/>
  </cols>
  <sheetData>
    <row r="1" spans="1:20" x14ac:dyDescent="0.25">
      <c r="A1" s="1" t="s">
        <v>0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20" x14ac:dyDescent="0.25">
      <c r="A3" t="s">
        <v>11</v>
      </c>
      <c r="B3">
        <v>879</v>
      </c>
      <c r="C3">
        <v>5</v>
      </c>
      <c r="D3">
        <v>0</v>
      </c>
      <c r="E3">
        <v>71</v>
      </c>
      <c r="F3">
        <v>0</v>
      </c>
      <c r="G3">
        <v>5</v>
      </c>
      <c r="H3">
        <v>71</v>
      </c>
      <c r="I3">
        <v>7.0000000000000007E-2</v>
      </c>
      <c r="J3">
        <v>11.83</v>
      </c>
    </row>
    <row r="4" spans="1:20" x14ac:dyDescent="0.25">
      <c r="A4" t="s">
        <v>12</v>
      </c>
      <c r="B4">
        <v>1636</v>
      </c>
      <c r="C4">
        <v>22</v>
      </c>
      <c r="D4">
        <v>6</v>
      </c>
      <c r="E4">
        <v>140</v>
      </c>
      <c r="F4">
        <v>36</v>
      </c>
      <c r="G4">
        <v>28</v>
      </c>
      <c r="H4">
        <v>176</v>
      </c>
      <c r="I4">
        <v>0.16</v>
      </c>
      <c r="J4">
        <v>15.28</v>
      </c>
    </row>
    <row r="5" spans="1:20" ht="15.75" thickBot="1" x14ac:dyDescent="0.3">
      <c r="A5" t="s">
        <v>13</v>
      </c>
      <c r="B5">
        <v>1583</v>
      </c>
      <c r="C5">
        <v>24</v>
      </c>
      <c r="D5">
        <v>4</v>
      </c>
      <c r="E5">
        <v>147</v>
      </c>
      <c r="F5">
        <v>55</v>
      </c>
      <c r="G5">
        <v>28</v>
      </c>
      <c r="H5">
        <v>202</v>
      </c>
      <c r="I5">
        <v>0.14000000000000001</v>
      </c>
      <c r="J5">
        <v>18.57</v>
      </c>
    </row>
    <row r="6" spans="1:20" x14ac:dyDescent="0.25">
      <c r="A6" t="s">
        <v>14</v>
      </c>
      <c r="B6">
        <v>1107</v>
      </c>
      <c r="C6">
        <v>16</v>
      </c>
      <c r="D6">
        <v>5</v>
      </c>
      <c r="E6">
        <v>71</v>
      </c>
      <c r="F6">
        <v>19</v>
      </c>
      <c r="G6">
        <v>21</v>
      </c>
      <c r="H6">
        <v>90</v>
      </c>
      <c r="I6">
        <v>0.23</v>
      </c>
      <c r="J6">
        <v>13.37</v>
      </c>
      <c r="P6" s="2" t="s">
        <v>15</v>
      </c>
      <c r="Q6" s="3" t="s">
        <v>16</v>
      </c>
      <c r="R6" s="3" t="s">
        <v>17</v>
      </c>
      <c r="S6" s="3" t="s">
        <v>18</v>
      </c>
      <c r="T6" s="3" t="s">
        <v>19</v>
      </c>
    </row>
    <row r="7" spans="1:20" x14ac:dyDescent="0.25">
      <c r="A7" t="s">
        <v>20</v>
      </c>
      <c r="B7">
        <v>1387</v>
      </c>
      <c r="C7">
        <v>18</v>
      </c>
      <c r="D7">
        <v>6</v>
      </c>
      <c r="E7">
        <v>87</v>
      </c>
      <c r="F7">
        <v>19</v>
      </c>
      <c r="G7">
        <v>24</v>
      </c>
      <c r="H7">
        <v>106</v>
      </c>
      <c r="I7">
        <v>0.23</v>
      </c>
      <c r="J7">
        <v>12.83</v>
      </c>
      <c r="P7" s="4" t="s">
        <v>0</v>
      </c>
      <c r="Q7" s="4">
        <v>7.0000000000000007E-2</v>
      </c>
      <c r="R7" s="4">
        <v>0.14000000000000001</v>
      </c>
      <c r="S7" s="4">
        <v>0.23</v>
      </c>
      <c r="T7" s="5">
        <f>(S7-R7)/R7</f>
        <v>0.64285714285714279</v>
      </c>
    </row>
    <row r="8" spans="1:20" x14ac:dyDescent="0.25">
      <c r="P8" s="4" t="s">
        <v>21</v>
      </c>
      <c r="Q8" s="4">
        <v>0.2</v>
      </c>
      <c r="R8" s="4">
        <v>0.22</v>
      </c>
      <c r="S8" s="4">
        <v>0.65</v>
      </c>
      <c r="T8" s="5">
        <f t="shared" ref="T8:T17" si="0">(S8-R8)/R8</f>
        <v>1.9545454545454548</v>
      </c>
    </row>
    <row r="9" spans="1:20" x14ac:dyDescent="0.25">
      <c r="P9" s="4" t="s">
        <v>22</v>
      </c>
      <c r="Q9" s="4">
        <v>0.48</v>
      </c>
      <c r="R9" s="4">
        <v>0.3</v>
      </c>
      <c r="S9" s="4">
        <v>0.37</v>
      </c>
      <c r="T9" s="5">
        <f t="shared" si="0"/>
        <v>0.23333333333333336</v>
      </c>
    </row>
    <row r="10" spans="1:20" x14ac:dyDescent="0.25">
      <c r="A10" s="1" t="s">
        <v>21</v>
      </c>
      <c r="P10" s="4" t="s">
        <v>23</v>
      </c>
      <c r="Q10" s="4">
        <v>0.11</v>
      </c>
      <c r="R10" s="4">
        <v>0.21</v>
      </c>
      <c r="S10" s="4">
        <v>0.73</v>
      </c>
      <c r="T10" s="5">
        <f t="shared" si="0"/>
        <v>2.4761904761904763</v>
      </c>
    </row>
    <row r="11" spans="1:20" x14ac:dyDescent="0.25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P11" s="4" t="s">
        <v>24</v>
      </c>
      <c r="Q11" s="4">
        <v>0.05</v>
      </c>
      <c r="R11" s="4">
        <v>0.11</v>
      </c>
      <c r="S11" s="4">
        <v>0.37</v>
      </c>
      <c r="T11" s="5">
        <f t="shared" si="0"/>
        <v>2.3636363636363638</v>
      </c>
    </row>
    <row r="12" spans="1:20" x14ac:dyDescent="0.25">
      <c r="A12" t="s">
        <v>11</v>
      </c>
      <c r="B12">
        <v>1251</v>
      </c>
      <c r="C12">
        <v>21</v>
      </c>
      <c r="D12">
        <v>0</v>
      </c>
      <c r="E12">
        <v>95</v>
      </c>
      <c r="F12">
        <v>10</v>
      </c>
      <c r="G12">
        <v>21</v>
      </c>
      <c r="H12">
        <v>105</v>
      </c>
      <c r="I12">
        <v>0.2</v>
      </c>
      <c r="J12">
        <v>11.67</v>
      </c>
      <c r="P12" s="4" t="s">
        <v>25</v>
      </c>
      <c r="Q12" s="4">
        <v>0.28000000000000003</v>
      </c>
      <c r="R12" s="4">
        <v>0.2</v>
      </c>
      <c r="S12" s="4">
        <v>0.6</v>
      </c>
      <c r="T12" s="6">
        <f t="shared" si="0"/>
        <v>1.9999999999999998</v>
      </c>
    </row>
    <row r="13" spans="1:20" x14ac:dyDescent="0.25">
      <c r="A13" t="s">
        <v>12</v>
      </c>
      <c r="B13">
        <v>1963</v>
      </c>
      <c r="C13">
        <v>44</v>
      </c>
      <c r="D13">
        <v>0</v>
      </c>
      <c r="E13">
        <v>165</v>
      </c>
      <c r="F13">
        <v>48</v>
      </c>
      <c r="G13">
        <v>44</v>
      </c>
      <c r="H13">
        <v>213</v>
      </c>
      <c r="I13">
        <v>0.21</v>
      </c>
      <c r="J13">
        <v>15.23</v>
      </c>
      <c r="P13" s="4" t="s">
        <v>26</v>
      </c>
      <c r="Q13" s="4">
        <v>7.0000000000000007E-2</v>
      </c>
      <c r="R13" s="4">
        <v>7.0000000000000007E-2</v>
      </c>
      <c r="S13" s="4">
        <v>0.14000000000000001</v>
      </c>
      <c r="T13" s="6">
        <f t="shared" si="0"/>
        <v>1</v>
      </c>
    </row>
    <row r="14" spans="1:20" x14ac:dyDescent="0.25">
      <c r="A14" t="s">
        <v>13</v>
      </c>
      <c r="B14">
        <v>1496</v>
      </c>
      <c r="C14">
        <v>37</v>
      </c>
      <c r="D14">
        <v>1</v>
      </c>
      <c r="E14">
        <v>119</v>
      </c>
      <c r="F14">
        <v>51</v>
      </c>
      <c r="G14">
        <v>38</v>
      </c>
      <c r="H14">
        <v>170</v>
      </c>
      <c r="I14">
        <v>0.22</v>
      </c>
      <c r="J14">
        <v>16.18</v>
      </c>
      <c r="P14" s="4" t="s">
        <v>27</v>
      </c>
      <c r="Q14" s="4">
        <v>0.16</v>
      </c>
      <c r="R14" s="4">
        <v>0.13</v>
      </c>
      <c r="S14" s="4">
        <v>0.49</v>
      </c>
      <c r="T14" s="6">
        <f t="shared" si="0"/>
        <v>2.7692307692307692</v>
      </c>
    </row>
    <row r="15" spans="1:20" x14ac:dyDescent="0.25">
      <c r="A15" t="s">
        <v>14</v>
      </c>
      <c r="B15">
        <v>1136</v>
      </c>
      <c r="C15">
        <v>34</v>
      </c>
      <c r="D15">
        <v>6</v>
      </c>
      <c r="E15">
        <v>63</v>
      </c>
      <c r="F15">
        <v>13</v>
      </c>
      <c r="G15">
        <v>40</v>
      </c>
      <c r="H15">
        <v>76</v>
      </c>
      <c r="I15">
        <v>0.53</v>
      </c>
      <c r="J15">
        <v>11.53</v>
      </c>
      <c r="P15" s="4" t="s">
        <v>28</v>
      </c>
      <c r="Q15" s="4">
        <v>0.26</v>
      </c>
      <c r="R15" s="4">
        <v>0.12</v>
      </c>
      <c r="S15" s="4">
        <v>0.51</v>
      </c>
      <c r="T15" s="6">
        <f t="shared" si="0"/>
        <v>3.2500000000000004</v>
      </c>
    </row>
    <row r="16" spans="1:20" x14ac:dyDescent="0.25">
      <c r="A16" t="s">
        <v>20</v>
      </c>
      <c r="B16">
        <v>1310</v>
      </c>
      <c r="C16">
        <v>44</v>
      </c>
      <c r="D16">
        <v>9</v>
      </c>
      <c r="E16">
        <v>68</v>
      </c>
      <c r="F16">
        <v>13</v>
      </c>
      <c r="G16">
        <v>53</v>
      </c>
      <c r="H16">
        <v>81</v>
      </c>
      <c r="I16">
        <v>0.65</v>
      </c>
      <c r="J16">
        <v>11.53</v>
      </c>
      <c r="P16" s="4" t="s">
        <v>29</v>
      </c>
      <c r="Q16" s="4">
        <v>0.31</v>
      </c>
      <c r="R16" s="4">
        <v>0.34</v>
      </c>
      <c r="S16" s="4">
        <v>0.56999999999999995</v>
      </c>
      <c r="T16" s="6">
        <f t="shared" si="0"/>
        <v>0.67647058823529382</v>
      </c>
    </row>
    <row r="17" spans="1:20" x14ac:dyDescent="0.25">
      <c r="P17" s="4" t="s">
        <v>30</v>
      </c>
      <c r="Q17" s="4">
        <v>0.25</v>
      </c>
      <c r="R17" s="4">
        <v>0.18</v>
      </c>
      <c r="S17" s="4">
        <v>0.35</v>
      </c>
      <c r="T17" s="7">
        <f t="shared" si="0"/>
        <v>0.94444444444444442</v>
      </c>
    </row>
    <row r="18" spans="1:20" ht="15.75" thickBot="1" x14ac:dyDescent="0.3">
      <c r="A18" s="1" t="s">
        <v>22</v>
      </c>
      <c r="P18" s="8" t="s">
        <v>31</v>
      </c>
      <c r="Q18" s="9">
        <f>AVERAGE(Q7:Q17)</f>
        <v>0.20363636363636364</v>
      </c>
      <c r="R18" s="9">
        <f>AVERAGE(R7:R17)</f>
        <v>0.18363636363636363</v>
      </c>
      <c r="S18" s="9">
        <f>AVERAGE(S7:S17)</f>
        <v>0.45545454545454545</v>
      </c>
      <c r="T18" s="10">
        <f>AVERAGE(T7:T17)</f>
        <v>1.6646098702248435</v>
      </c>
    </row>
    <row r="19" spans="1:20" ht="15.75" thickBot="1" x14ac:dyDescent="0.3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P19" s="8" t="s">
        <v>32</v>
      </c>
      <c r="Q19" s="9">
        <f>STDEV(Q7:Q17)</f>
        <v>0.12994404390142142</v>
      </c>
      <c r="R19" s="9">
        <f>STDEV(R7:R17)</f>
        <v>8.2130716211747196E-2</v>
      </c>
      <c r="S19" s="9">
        <f>STDEV(S7:S17)</f>
        <v>0.18096207538396755</v>
      </c>
    </row>
    <row r="20" spans="1:20" ht="15.75" thickBot="1" x14ac:dyDescent="0.3">
      <c r="A20" t="s">
        <v>11</v>
      </c>
      <c r="B20">
        <v>978</v>
      </c>
      <c r="C20">
        <v>15</v>
      </c>
      <c r="D20">
        <v>14</v>
      </c>
      <c r="E20">
        <v>55</v>
      </c>
      <c r="F20">
        <v>6</v>
      </c>
      <c r="G20">
        <v>29</v>
      </c>
      <c r="H20">
        <v>61</v>
      </c>
      <c r="I20">
        <v>0.48</v>
      </c>
      <c r="J20">
        <v>10.94</v>
      </c>
      <c r="P20" s="8" t="s">
        <v>33</v>
      </c>
      <c r="Q20" s="9">
        <f>MEDIAN(Q7:Q17)</f>
        <v>0.2</v>
      </c>
      <c r="R20" s="9">
        <f>MEDIAN(R7:R17)</f>
        <v>0.18</v>
      </c>
      <c r="S20" s="9">
        <f>MEDIAN(S7:S17)</f>
        <v>0.49</v>
      </c>
    </row>
    <row r="21" spans="1:20" x14ac:dyDescent="0.25">
      <c r="A21" t="s">
        <v>12</v>
      </c>
      <c r="B21">
        <v>1644</v>
      </c>
      <c r="C21">
        <v>26</v>
      </c>
      <c r="D21">
        <v>25</v>
      </c>
      <c r="E21">
        <v>104</v>
      </c>
      <c r="F21">
        <v>29</v>
      </c>
      <c r="G21">
        <v>51</v>
      </c>
      <c r="H21">
        <v>133</v>
      </c>
      <c r="I21">
        <v>0.38</v>
      </c>
      <c r="J21">
        <v>13.63</v>
      </c>
    </row>
    <row r="22" spans="1:20" x14ac:dyDescent="0.25">
      <c r="A22" t="s">
        <v>13</v>
      </c>
      <c r="B22">
        <v>1766</v>
      </c>
      <c r="C22">
        <v>27</v>
      </c>
      <c r="D22">
        <v>22</v>
      </c>
      <c r="E22">
        <v>114</v>
      </c>
      <c r="F22">
        <v>47</v>
      </c>
      <c r="G22">
        <v>49</v>
      </c>
      <c r="H22">
        <v>161</v>
      </c>
      <c r="I22">
        <v>0.3</v>
      </c>
      <c r="J22">
        <v>14.33</v>
      </c>
    </row>
    <row r="23" spans="1:20" x14ac:dyDescent="0.25">
      <c r="A23" t="s">
        <v>14</v>
      </c>
      <c r="B23">
        <v>811</v>
      </c>
      <c r="C23">
        <v>17</v>
      </c>
      <c r="D23">
        <v>4</v>
      </c>
      <c r="E23">
        <v>48</v>
      </c>
      <c r="F23">
        <v>11</v>
      </c>
      <c r="G23">
        <v>21</v>
      </c>
      <c r="H23">
        <v>59</v>
      </c>
      <c r="I23">
        <v>0.36</v>
      </c>
      <c r="J23">
        <v>13.32</v>
      </c>
    </row>
    <row r="24" spans="1:20" x14ac:dyDescent="0.25">
      <c r="A24" t="s">
        <v>20</v>
      </c>
      <c r="B24">
        <v>866</v>
      </c>
      <c r="C24">
        <v>15</v>
      </c>
      <c r="D24">
        <v>7</v>
      </c>
      <c r="E24">
        <v>47</v>
      </c>
      <c r="F24">
        <v>13</v>
      </c>
      <c r="G24">
        <v>22</v>
      </c>
      <c r="H24">
        <v>60</v>
      </c>
      <c r="I24">
        <v>0.37</v>
      </c>
      <c r="J24">
        <v>12.59</v>
      </c>
    </row>
    <row r="26" spans="1:20" x14ac:dyDescent="0.25">
      <c r="A26" s="1" t="s">
        <v>23</v>
      </c>
    </row>
    <row r="27" spans="1:20" x14ac:dyDescent="0.25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10</v>
      </c>
    </row>
    <row r="28" spans="1:20" x14ac:dyDescent="0.25">
      <c r="A28" t="s">
        <v>11</v>
      </c>
      <c r="B28">
        <v>914</v>
      </c>
      <c r="C28">
        <v>5</v>
      </c>
      <c r="D28">
        <v>0</v>
      </c>
      <c r="E28">
        <v>42</v>
      </c>
      <c r="F28">
        <v>3</v>
      </c>
      <c r="G28">
        <v>5</v>
      </c>
      <c r="H28">
        <v>45</v>
      </c>
      <c r="I28">
        <v>0.11</v>
      </c>
      <c r="J28">
        <v>7.77</v>
      </c>
    </row>
    <row r="29" spans="1:20" x14ac:dyDescent="0.25">
      <c r="A29" t="s">
        <v>12</v>
      </c>
      <c r="B29">
        <v>1902</v>
      </c>
      <c r="C29">
        <v>20</v>
      </c>
      <c r="D29">
        <v>5</v>
      </c>
      <c r="E29">
        <v>105</v>
      </c>
      <c r="F29">
        <v>23</v>
      </c>
      <c r="G29">
        <v>25</v>
      </c>
      <c r="H29">
        <v>128</v>
      </c>
      <c r="I29">
        <v>0.2</v>
      </c>
      <c r="J29">
        <v>10.25</v>
      </c>
    </row>
    <row r="30" spans="1:20" x14ac:dyDescent="0.25">
      <c r="A30" t="s">
        <v>13</v>
      </c>
      <c r="B30">
        <v>1808</v>
      </c>
      <c r="C30">
        <v>28</v>
      </c>
      <c r="D30">
        <v>6</v>
      </c>
      <c r="E30">
        <v>115</v>
      </c>
      <c r="F30">
        <v>44</v>
      </c>
      <c r="G30">
        <v>34</v>
      </c>
      <c r="H30">
        <v>159</v>
      </c>
      <c r="I30">
        <v>0.21</v>
      </c>
      <c r="J30">
        <v>13.05</v>
      </c>
    </row>
    <row r="31" spans="1:20" x14ac:dyDescent="0.25">
      <c r="A31" t="s">
        <v>14</v>
      </c>
      <c r="B31">
        <v>1574</v>
      </c>
      <c r="C31">
        <v>38</v>
      </c>
      <c r="D31">
        <v>11</v>
      </c>
      <c r="E31">
        <v>83</v>
      </c>
      <c r="F31">
        <v>40</v>
      </c>
      <c r="G31">
        <v>49</v>
      </c>
      <c r="H31">
        <v>123</v>
      </c>
      <c r="I31">
        <v>0.4</v>
      </c>
      <c r="J31">
        <v>13.6</v>
      </c>
    </row>
    <row r="32" spans="1:20" x14ac:dyDescent="0.25">
      <c r="A32" t="s">
        <v>20</v>
      </c>
      <c r="B32">
        <v>1278</v>
      </c>
      <c r="C32">
        <v>54</v>
      </c>
      <c r="D32">
        <v>10</v>
      </c>
      <c r="E32">
        <v>49</v>
      </c>
      <c r="F32">
        <v>39</v>
      </c>
      <c r="G32">
        <v>64</v>
      </c>
      <c r="H32">
        <v>88</v>
      </c>
      <c r="I32">
        <v>0.73</v>
      </c>
      <c r="J32">
        <v>14.71</v>
      </c>
    </row>
    <row r="34" spans="1:10" x14ac:dyDescent="0.25">
      <c r="A34" s="1" t="s">
        <v>24</v>
      </c>
    </row>
    <row r="35" spans="1:10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</row>
    <row r="36" spans="1:10" x14ac:dyDescent="0.25">
      <c r="A36" t="s">
        <v>11</v>
      </c>
      <c r="B36">
        <v>900</v>
      </c>
      <c r="C36">
        <v>3</v>
      </c>
      <c r="D36">
        <v>0</v>
      </c>
      <c r="E36">
        <v>57</v>
      </c>
      <c r="F36">
        <v>3</v>
      </c>
      <c r="G36">
        <v>3</v>
      </c>
      <c r="H36">
        <v>60</v>
      </c>
      <c r="I36">
        <v>0.05</v>
      </c>
      <c r="J36">
        <v>8.89</v>
      </c>
    </row>
    <row r="37" spans="1:10" x14ac:dyDescent="0.25">
      <c r="A37" t="s">
        <v>12</v>
      </c>
      <c r="B37">
        <v>1561</v>
      </c>
      <c r="C37">
        <v>11</v>
      </c>
      <c r="D37">
        <v>4</v>
      </c>
      <c r="E37">
        <v>114</v>
      </c>
      <c r="F37">
        <v>21</v>
      </c>
      <c r="G37">
        <v>15</v>
      </c>
      <c r="H37">
        <v>135</v>
      </c>
      <c r="I37">
        <v>0.11</v>
      </c>
      <c r="J37">
        <v>11.72</v>
      </c>
    </row>
    <row r="38" spans="1:10" x14ac:dyDescent="0.25">
      <c r="A38" t="s">
        <v>13</v>
      </c>
      <c r="B38">
        <v>1504</v>
      </c>
      <c r="C38">
        <v>12</v>
      </c>
      <c r="D38">
        <v>2</v>
      </c>
      <c r="E38">
        <v>101</v>
      </c>
      <c r="F38">
        <v>27</v>
      </c>
      <c r="G38">
        <v>14</v>
      </c>
      <c r="H38">
        <v>128</v>
      </c>
      <c r="I38">
        <v>0.11</v>
      </c>
      <c r="J38">
        <v>12.5</v>
      </c>
    </row>
    <row r="39" spans="1:10" x14ac:dyDescent="0.25">
      <c r="A39" t="s">
        <v>14</v>
      </c>
      <c r="B39">
        <v>1086</v>
      </c>
      <c r="C39">
        <v>14</v>
      </c>
      <c r="D39">
        <v>4</v>
      </c>
      <c r="E39">
        <v>58</v>
      </c>
      <c r="F39">
        <v>19</v>
      </c>
      <c r="G39">
        <v>18</v>
      </c>
      <c r="H39">
        <v>77</v>
      </c>
      <c r="I39">
        <v>0.23</v>
      </c>
      <c r="J39">
        <v>12.25</v>
      </c>
    </row>
    <row r="40" spans="1:10" x14ac:dyDescent="0.25">
      <c r="A40" t="s">
        <v>20</v>
      </c>
      <c r="B40">
        <v>1322</v>
      </c>
      <c r="C40">
        <v>21</v>
      </c>
      <c r="D40">
        <v>5</v>
      </c>
      <c r="E40">
        <v>52</v>
      </c>
      <c r="F40">
        <v>18</v>
      </c>
      <c r="G40">
        <v>26</v>
      </c>
      <c r="H40">
        <v>70</v>
      </c>
      <c r="I40">
        <v>0.37</v>
      </c>
      <c r="J40">
        <v>11.5</v>
      </c>
    </row>
    <row r="42" spans="1:10" x14ac:dyDescent="0.25">
      <c r="A42" s="1" t="s">
        <v>25</v>
      </c>
    </row>
    <row r="43" spans="1:10" x14ac:dyDescent="0.25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</row>
    <row r="44" spans="1:10" x14ac:dyDescent="0.25">
      <c r="A44" t="s">
        <v>11</v>
      </c>
      <c r="B44">
        <v>861</v>
      </c>
      <c r="C44">
        <v>14</v>
      </c>
      <c r="D44">
        <v>3</v>
      </c>
      <c r="E44">
        <v>52</v>
      </c>
      <c r="F44">
        <v>8</v>
      </c>
      <c r="G44">
        <v>17</v>
      </c>
      <c r="H44">
        <v>60</v>
      </c>
      <c r="I44">
        <v>0.28000000000000003</v>
      </c>
      <c r="J44">
        <v>9.76</v>
      </c>
    </row>
    <row r="45" spans="1:10" x14ac:dyDescent="0.25">
      <c r="A45" t="s">
        <v>12</v>
      </c>
      <c r="B45">
        <v>1199</v>
      </c>
      <c r="C45">
        <v>20</v>
      </c>
      <c r="D45">
        <v>10</v>
      </c>
      <c r="E45">
        <v>102</v>
      </c>
      <c r="F45">
        <v>51</v>
      </c>
      <c r="G45">
        <v>30</v>
      </c>
      <c r="H45">
        <v>153</v>
      </c>
      <c r="I45">
        <v>0.2</v>
      </c>
      <c r="J45">
        <v>16.68</v>
      </c>
    </row>
    <row r="46" spans="1:10" x14ac:dyDescent="0.25">
      <c r="A46" t="s">
        <v>13</v>
      </c>
      <c r="B46">
        <v>1085</v>
      </c>
      <c r="C46">
        <v>21</v>
      </c>
      <c r="D46">
        <v>10</v>
      </c>
      <c r="E46">
        <v>103</v>
      </c>
      <c r="F46">
        <v>53</v>
      </c>
      <c r="G46">
        <v>31</v>
      </c>
      <c r="H46">
        <v>156</v>
      </c>
      <c r="I46">
        <v>0.2</v>
      </c>
      <c r="J46">
        <v>19.079999999999998</v>
      </c>
    </row>
    <row r="47" spans="1:10" x14ac:dyDescent="0.25">
      <c r="A47" t="s">
        <v>14</v>
      </c>
      <c r="B47">
        <v>798</v>
      </c>
      <c r="C47">
        <v>26</v>
      </c>
      <c r="D47">
        <v>5</v>
      </c>
      <c r="E47">
        <v>49</v>
      </c>
      <c r="F47">
        <v>19</v>
      </c>
      <c r="G47">
        <v>31</v>
      </c>
      <c r="H47">
        <v>68</v>
      </c>
      <c r="I47">
        <v>0.46</v>
      </c>
      <c r="J47">
        <v>15.29</v>
      </c>
    </row>
    <row r="48" spans="1:10" x14ac:dyDescent="0.25">
      <c r="A48" t="s">
        <v>20</v>
      </c>
      <c r="B48">
        <v>1026</v>
      </c>
      <c r="C48">
        <v>34</v>
      </c>
      <c r="D48">
        <v>5</v>
      </c>
      <c r="E48">
        <v>49</v>
      </c>
      <c r="F48">
        <v>16</v>
      </c>
      <c r="G48">
        <v>39</v>
      </c>
      <c r="H48">
        <v>65</v>
      </c>
      <c r="I48">
        <v>0.6</v>
      </c>
      <c r="J48">
        <v>12.48</v>
      </c>
    </row>
    <row r="50" spans="1:10" x14ac:dyDescent="0.25">
      <c r="A50" s="1" t="s">
        <v>26</v>
      </c>
    </row>
    <row r="51" spans="1:10" x14ac:dyDescent="0.25">
      <c r="A51" t="s">
        <v>1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  <c r="I51" t="s">
        <v>9</v>
      </c>
      <c r="J51" t="s">
        <v>10</v>
      </c>
    </row>
    <row r="52" spans="1:10" x14ac:dyDescent="0.25">
      <c r="A52" t="s">
        <v>11</v>
      </c>
      <c r="B52">
        <v>865</v>
      </c>
      <c r="C52">
        <v>3</v>
      </c>
      <c r="D52">
        <v>2</v>
      </c>
      <c r="E52">
        <v>70</v>
      </c>
      <c r="F52">
        <v>1</v>
      </c>
      <c r="G52">
        <v>5</v>
      </c>
      <c r="H52">
        <v>71</v>
      </c>
      <c r="I52">
        <v>7.0000000000000007E-2</v>
      </c>
      <c r="J52">
        <v>9.94</v>
      </c>
    </row>
    <row r="53" spans="1:10" x14ac:dyDescent="0.25">
      <c r="A53" t="s">
        <v>12</v>
      </c>
      <c r="B53">
        <v>1119</v>
      </c>
      <c r="C53">
        <v>13</v>
      </c>
      <c r="D53">
        <v>3</v>
      </c>
      <c r="E53">
        <v>108</v>
      </c>
      <c r="F53">
        <v>18</v>
      </c>
      <c r="G53">
        <v>16</v>
      </c>
      <c r="H53">
        <v>126</v>
      </c>
      <c r="I53">
        <v>0.13</v>
      </c>
      <c r="J53">
        <v>15.82</v>
      </c>
    </row>
    <row r="54" spans="1:10" x14ac:dyDescent="0.25">
      <c r="A54" t="s">
        <v>13</v>
      </c>
      <c r="B54">
        <v>1254</v>
      </c>
      <c r="C54">
        <v>9</v>
      </c>
      <c r="D54">
        <v>3</v>
      </c>
      <c r="E54">
        <v>139</v>
      </c>
      <c r="F54">
        <v>34</v>
      </c>
      <c r="G54">
        <v>12</v>
      </c>
      <c r="H54">
        <v>173</v>
      </c>
      <c r="I54">
        <v>7.0000000000000007E-2</v>
      </c>
      <c r="J54">
        <v>17.149999999999999</v>
      </c>
    </row>
    <row r="55" spans="1:10" x14ac:dyDescent="0.25">
      <c r="A55" t="s">
        <v>14</v>
      </c>
      <c r="B55">
        <v>1180</v>
      </c>
      <c r="C55">
        <v>16</v>
      </c>
      <c r="D55">
        <v>3</v>
      </c>
      <c r="E55">
        <v>133</v>
      </c>
      <c r="F55">
        <v>31</v>
      </c>
      <c r="G55">
        <v>19</v>
      </c>
      <c r="H55">
        <v>164</v>
      </c>
      <c r="I55">
        <v>0.12</v>
      </c>
      <c r="J55">
        <v>18.14</v>
      </c>
    </row>
    <row r="56" spans="1:10" x14ac:dyDescent="0.25">
      <c r="A56" t="s">
        <v>20</v>
      </c>
      <c r="B56">
        <v>1353</v>
      </c>
      <c r="C56">
        <v>22</v>
      </c>
      <c r="D56">
        <v>3</v>
      </c>
      <c r="E56">
        <v>143</v>
      </c>
      <c r="F56">
        <v>30</v>
      </c>
      <c r="G56">
        <v>25</v>
      </c>
      <c r="H56">
        <v>173</v>
      </c>
      <c r="I56">
        <v>0.14000000000000001</v>
      </c>
      <c r="J56">
        <v>16.850000000000001</v>
      </c>
    </row>
    <row r="59" spans="1:10" x14ac:dyDescent="0.25">
      <c r="A59" s="1" t="s">
        <v>27</v>
      </c>
    </row>
    <row r="60" spans="1:10" x14ac:dyDescent="0.25">
      <c r="A60" t="s">
        <v>1</v>
      </c>
      <c r="B60" t="s">
        <v>2</v>
      </c>
      <c r="C60" t="s">
        <v>3</v>
      </c>
      <c r="D60" t="s">
        <v>4</v>
      </c>
      <c r="E60" t="s">
        <v>5</v>
      </c>
      <c r="F60" t="s">
        <v>6</v>
      </c>
      <c r="G60" t="s">
        <v>7</v>
      </c>
      <c r="H60" t="s">
        <v>8</v>
      </c>
      <c r="I60" t="s">
        <v>9</v>
      </c>
      <c r="J60" t="s">
        <v>10</v>
      </c>
    </row>
    <row r="61" spans="1:10" x14ac:dyDescent="0.25">
      <c r="A61" t="s">
        <v>11</v>
      </c>
      <c r="B61">
        <v>1031</v>
      </c>
      <c r="C61">
        <v>8</v>
      </c>
      <c r="D61">
        <v>0</v>
      </c>
      <c r="E61">
        <v>51</v>
      </c>
      <c r="F61">
        <v>0</v>
      </c>
      <c r="G61">
        <v>8</v>
      </c>
      <c r="H61">
        <v>51</v>
      </c>
      <c r="I61">
        <v>0.16</v>
      </c>
      <c r="J61">
        <v>8.0500000000000007</v>
      </c>
    </row>
    <row r="62" spans="1:10" x14ac:dyDescent="0.25">
      <c r="A62" t="s">
        <v>12</v>
      </c>
      <c r="B62">
        <v>1686</v>
      </c>
      <c r="C62">
        <v>23</v>
      </c>
      <c r="D62">
        <v>0</v>
      </c>
      <c r="E62">
        <v>118</v>
      </c>
      <c r="F62">
        <v>21</v>
      </c>
      <c r="G62">
        <v>23</v>
      </c>
      <c r="H62">
        <v>139</v>
      </c>
      <c r="I62">
        <v>0.17</v>
      </c>
      <c r="J62">
        <v>12.1</v>
      </c>
    </row>
    <row r="63" spans="1:10" x14ac:dyDescent="0.25">
      <c r="A63" t="s">
        <v>13</v>
      </c>
      <c r="B63">
        <v>1583</v>
      </c>
      <c r="C63">
        <v>18</v>
      </c>
      <c r="D63">
        <v>1</v>
      </c>
      <c r="E63">
        <v>114</v>
      </c>
      <c r="F63">
        <v>37</v>
      </c>
      <c r="G63">
        <v>19</v>
      </c>
      <c r="H63">
        <v>151</v>
      </c>
      <c r="I63">
        <v>0.13</v>
      </c>
      <c r="J63">
        <v>13.71</v>
      </c>
    </row>
    <row r="64" spans="1:10" x14ac:dyDescent="0.25">
      <c r="A64" t="s">
        <v>14</v>
      </c>
      <c r="B64">
        <v>1026</v>
      </c>
      <c r="C64">
        <v>24</v>
      </c>
      <c r="D64">
        <v>9</v>
      </c>
      <c r="E64">
        <v>53</v>
      </c>
      <c r="F64">
        <v>19</v>
      </c>
      <c r="G64">
        <v>33</v>
      </c>
      <c r="H64">
        <v>72</v>
      </c>
      <c r="I64">
        <v>0.46</v>
      </c>
      <c r="J64">
        <v>12.96</v>
      </c>
    </row>
    <row r="65" spans="1:10" x14ac:dyDescent="0.25">
      <c r="A65" t="s">
        <v>20</v>
      </c>
      <c r="B65">
        <v>1180</v>
      </c>
      <c r="C65">
        <v>28</v>
      </c>
      <c r="D65">
        <v>11</v>
      </c>
      <c r="E65">
        <v>60</v>
      </c>
      <c r="F65">
        <v>20</v>
      </c>
      <c r="G65">
        <v>39</v>
      </c>
      <c r="H65">
        <v>80</v>
      </c>
      <c r="I65">
        <v>0.49</v>
      </c>
      <c r="J65">
        <v>12.97</v>
      </c>
    </row>
    <row r="67" spans="1:10" x14ac:dyDescent="0.25">
      <c r="A67" s="1" t="s">
        <v>28</v>
      </c>
    </row>
    <row r="68" spans="1:10" x14ac:dyDescent="0.25">
      <c r="A68" t="s">
        <v>1</v>
      </c>
      <c r="B68" t="s">
        <v>2</v>
      </c>
      <c r="C68" t="s">
        <v>3</v>
      </c>
      <c r="D68" t="s">
        <v>4</v>
      </c>
      <c r="E68" t="s">
        <v>5</v>
      </c>
      <c r="F68" t="s">
        <v>6</v>
      </c>
      <c r="G68" t="s">
        <v>7</v>
      </c>
      <c r="H68" t="s">
        <v>8</v>
      </c>
      <c r="I68" t="s">
        <v>9</v>
      </c>
      <c r="J68" t="s">
        <v>10</v>
      </c>
    </row>
    <row r="69" spans="1:10" x14ac:dyDescent="0.25">
      <c r="A69" t="s">
        <v>11</v>
      </c>
      <c r="B69">
        <v>1200</v>
      </c>
      <c r="C69">
        <v>10</v>
      </c>
      <c r="D69">
        <v>8</v>
      </c>
      <c r="E69">
        <v>64</v>
      </c>
      <c r="F69">
        <v>4</v>
      </c>
      <c r="G69">
        <v>18</v>
      </c>
      <c r="H69">
        <v>68</v>
      </c>
      <c r="I69">
        <v>0.26</v>
      </c>
      <c r="J69">
        <v>8.75</v>
      </c>
    </row>
    <row r="70" spans="1:10" x14ac:dyDescent="0.25">
      <c r="A70" t="s">
        <v>12</v>
      </c>
      <c r="B70">
        <v>2033</v>
      </c>
      <c r="C70">
        <v>13</v>
      </c>
      <c r="D70">
        <v>13</v>
      </c>
      <c r="E70">
        <v>123</v>
      </c>
      <c r="F70">
        <v>35</v>
      </c>
      <c r="G70">
        <v>26</v>
      </c>
      <c r="H70">
        <v>158</v>
      </c>
      <c r="I70">
        <v>0.16</v>
      </c>
      <c r="J70">
        <v>10.62</v>
      </c>
    </row>
    <row r="71" spans="1:10" x14ac:dyDescent="0.25">
      <c r="A71" t="s">
        <v>13</v>
      </c>
      <c r="B71">
        <v>1715</v>
      </c>
      <c r="C71">
        <v>12</v>
      </c>
      <c r="D71">
        <v>7</v>
      </c>
      <c r="E71">
        <v>119</v>
      </c>
      <c r="F71">
        <v>44</v>
      </c>
      <c r="G71">
        <v>19</v>
      </c>
      <c r="H71">
        <v>163</v>
      </c>
      <c r="I71">
        <v>0.12</v>
      </c>
      <c r="J71">
        <v>12.83</v>
      </c>
    </row>
    <row r="72" spans="1:10" x14ac:dyDescent="0.25">
      <c r="A72" t="s">
        <v>14</v>
      </c>
      <c r="B72">
        <v>1495</v>
      </c>
      <c r="C72">
        <v>14</v>
      </c>
      <c r="D72">
        <v>11</v>
      </c>
      <c r="E72">
        <v>64</v>
      </c>
      <c r="F72">
        <v>8</v>
      </c>
      <c r="G72">
        <v>25</v>
      </c>
      <c r="H72">
        <v>72</v>
      </c>
      <c r="I72">
        <v>0.35</v>
      </c>
      <c r="J72">
        <v>9.43</v>
      </c>
    </row>
    <row r="73" spans="1:10" x14ac:dyDescent="0.25">
      <c r="A73" t="s">
        <v>20</v>
      </c>
      <c r="B73">
        <v>1119</v>
      </c>
      <c r="C73">
        <v>16</v>
      </c>
      <c r="D73">
        <v>15</v>
      </c>
      <c r="E73">
        <v>45</v>
      </c>
      <c r="F73">
        <v>16</v>
      </c>
      <c r="G73">
        <v>31</v>
      </c>
      <c r="H73">
        <v>61</v>
      </c>
      <c r="I73">
        <v>0.51</v>
      </c>
      <c r="J73">
        <v>12.96</v>
      </c>
    </row>
    <row r="75" spans="1:10" x14ac:dyDescent="0.25">
      <c r="A75" s="1" t="s">
        <v>29</v>
      </c>
    </row>
    <row r="76" spans="1:10" x14ac:dyDescent="0.25">
      <c r="A76" t="s">
        <v>1</v>
      </c>
      <c r="B76" t="s">
        <v>2</v>
      </c>
      <c r="C76" t="s">
        <v>3</v>
      </c>
      <c r="D76" t="s">
        <v>4</v>
      </c>
      <c r="E76" t="s">
        <v>5</v>
      </c>
      <c r="F76" t="s">
        <v>6</v>
      </c>
      <c r="G76" t="s">
        <v>7</v>
      </c>
      <c r="H76" t="s">
        <v>8</v>
      </c>
      <c r="I76" t="s">
        <v>9</v>
      </c>
      <c r="J76" t="s">
        <v>10</v>
      </c>
    </row>
    <row r="77" spans="1:10" x14ac:dyDescent="0.25">
      <c r="A77" t="s">
        <v>11</v>
      </c>
      <c r="B77">
        <v>1138</v>
      </c>
      <c r="C77">
        <v>9</v>
      </c>
      <c r="D77">
        <v>4</v>
      </c>
      <c r="E77">
        <v>41</v>
      </c>
      <c r="F77">
        <v>1</v>
      </c>
      <c r="G77">
        <v>13</v>
      </c>
      <c r="H77">
        <v>42</v>
      </c>
      <c r="I77">
        <v>0.31</v>
      </c>
      <c r="J77">
        <v>6.5</v>
      </c>
    </row>
    <row r="78" spans="1:10" x14ac:dyDescent="0.25">
      <c r="A78" t="s">
        <v>12</v>
      </c>
      <c r="B78">
        <v>1844</v>
      </c>
      <c r="C78">
        <v>41</v>
      </c>
      <c r="D78">
        <v>14</v>
      </c>
      <c r="E78">
        <v>102</v>
      </c>
      <c r="F78">
        <v>56</v>
      </c>
      <c r="G78">
        <v>55</v>
      </c>
      <c r="H78">
        <v>158</v>
      </c>
      <c r="I78">
        <v>0.35</v>
      </c>
      <c r="J78">
        <v>13.94</v>
      </c>
    </row>
    <row r="79" spans="1:10" x14ac:dyDescent="0.25">
      <c r="A79" t="s">
        <v>13</v>
      </c>
      <c r="B79">
        <v>1715</v>
      </c>
      <c r="C79">
        <v>38</v>
      </c>
      <c r="D79">
        <v>13</v>
      </c>
      <c r="E79">
        <v>94</v>
      </c>
      <c r="F79">
        <v>56</v>
      </c>
      <c r="G79">
        <v>51</v>
      </c>
      <c r="H79">
        <v>150</v>
      </c>
      <c r="I79">
        <v>0.34</v>
      </c>
      <c r="J79">
        <v>14.64</v>
      </c>
    </row>
    <row r="80" spans="1:10" x14ac:dyDescent="0.25">
      <c r="A80" t="s">
        <v>14</v>
      </c>
      <c r="B80">
        <v>1242</v>
      </c>
      <c r="C80">
        <v>27</v>
      </c>
      <c r="D80">
        <v>10</v>
      </c>
      <c r="E80">
        <v>38</v>
      </c>
      <c r="F80">
        <v>13</v>
      </c>
      <c r="G80">
        <v>37</v>
      </c>
      <c r="H80">
        <v>51</v>
      </c>
      <c r="I80">
        <v>0.73</v>
      </c>
      <c r="J80">
        <v>11.76</v>
      </c>
    </row>
    <row r="81" spans="1:10" x14ac:dyDescent="0.25">
      <c r="A81" t="s">
        <v>20</v>
      </c>
      <c r="B81">
        <v>1267</v>
      </c>
      <c r="C81">
        <v>23</v>
      </c>
      <c r="D81">
        <v>8</v>
      </c>
      <c r="E81">
        <v>38</v>
      </c>
      <c r="F81">
        <v>16</v>
      </c>
      <c r="G81">
        <v>31</v>
      </c>
      <c r="H81">
        <v>54</v>
      </c>
      <c r="I81">
        <v>0.56999999999999995</v>
      </c>
      <c r="J81">
        <v>12.15</v>
      </c>
    </row>
    <row r="83" spans="1:10" x14ac:dyDescent="0.25">
      <c r="A83" s="1" t="s">
        <v>30</v>
      </c>
    </row>
    <row r="84" spans="1:10" x14ac:dyDescent="0.25">
      <c r="A84" t="s">
        <v>1</v>
      </c>
      <c r="B84" t="s">
        <v>2</v>
      </c>
      <c r="C84" t="s">
        <v>3</v>
      </c>
      <c r="D84" t="s">
        <v>4</v>
      </c>
      <c r="E84" t="s">
        <v>5</v>
      </c>
      <c r="F84" t="s">
        <v>6</v>
      </c>
      <c r="G84" t="s">
        <v>7</v>
      </c>
      <c r="H84" t="s">
        <v>8</v>
      </c>
      <c r="I84" t="s">
        <v>9</v>
      </c>
      <c r="J84" t="s">
        <v>10</v>
      </c>
    </row>
    <row r="85" spans="1:10" x14ac:dyDescent="0.25">
      <c r="A85" t="s">
        <v>11</v>
      </c>
      <c r="B85">
        <v>1039</v>
      </c>
      <c r="C85">
        <v>10</v>
      </c>
      <c r="D85">
        <v>6</v>
      </c>
      <c r="E85">
        <v>58</v>
      </c>
      <c r="F85">
        <v>6</v>
      </c>
      <c r="G85">
        <v>16</v>
      </c>
      <c r="H85">
        <v>64</v>
      </c>
      <c r="I85">
        <v>0.25</v>
      </c>
      <c r="J85">
        <v>9.0500000000000007</v>
      </c>
    </row>
    <row r="86" spans="1:10" x14ac:dyDescent="0.25">
      <c r="A86" t="s">
        <v>12</v>
      </c>
      <c r="B86">
        <v>1287</v>
      </c>
      <c r="C86">
        <v>16</v>
      </c>
      <c r="D86">
        <v>5</v>
      </c>
      <c r="E86">
        <v>92</v>
      </c>
      <c r="F86">
        <v>44</v>
      </c>
      <c r="G86">
        <v>21</v>
      </c>
      <c r="H86">
        <v>136</v>
      </c>
      <c r="I86">
        <v>0.15</v>
      </c>
      <c r="J86">
        <v>13.52</v>
      </c>
    </row>
    <row r="87" spans="1:10" x14ac:dyDescent="0.25">
      <c r="A87" t="s">
        <v>13</v>
      </c>
      <c r="B87">
        <v>1615</v>
      </c>
      <c r="C87">
        <v>20</v>
      </c>
      <c r="D87">
        <v>9</v>
      </c>
      <c r="E87">
        <v>103</v>
      </c>
      <c r="F87">
        <v>62</v>
      </c>
      <c r="G87">
        <v>29</v>
      </c>
      <c r="H87">
        <v>165</v>
      </c>
      <c r="I87">
        <v>0.18</v>
      </c>
      <c r="J87">
        <v>13.56</v>
      </c>
    </row>
    <row r="88" spans="1:10" x14ac:dyDescent="0.25">
      <c r="A88" t="s">
        <v>14</v>
      </c>
      <c r="B88">
        <v>1946</v>
      </c>
      <c r="C88">
        <v>32</v>
      </c>
      <c r="D88">
        <v>13</v>
      </c>
      <c r="E88">
        <v>115</v>
      </c>
      <c r="F88">
        <v>55</v>
      </c>
      <c r="G88">
        <v>45</v>
      </c>
      <c r="H88">
        <v>170</v>
      </c>
      <c r="I88">
        <v>0.26</v>
      </c>
      <c r="J88">
        <v>12.74</v>
      </c>
    </row>
    <row r="89" spans="1:10" x14ac:dyDescent="0.25">
      <c r="A89" t="s">
        <v>20</v>
      </c>
      <c r="B89">
        <v>2338</v>
      </c>
      <c r="C89">
        <v>48</v>
      </c>
      <c r="D89">
        <v>13</v>
      </c>
      <c r="E89">
        <v>119</v>
      </c>
      <c r="F89">
        <v>57</v>
      </c>
      <c r="G89">
        <v>61</v>
      </c>
      <c r="H89">
        <v>176</v>
      </c>
      <c r="I89">
        <v>0.35</v>
      </c>
      <c r="J89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Pingfei Jiang</dc:creator>
  <cp:lastModifiedBy>Jiang, Pingfei</cp:lastModifiedBy>
  <dcterms:created xsi:type="dcterms:W3CDTF">2015-06-05T18:17:20Z</dcterms:created>
  <dcterms:modified xsi:type="dcterms:W3CDTF">2026-03-06T11:52:54Z</dcterms:modified>
</cp:coreProperties>
</file>